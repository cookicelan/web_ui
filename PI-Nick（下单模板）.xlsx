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PI" sheetId="5" r:id="rId1"/>
  </sheets>
  <definedNames>
    <definedName name="_xlnm.Print_Area" localSheetId="0">PI!$A$1:$J$30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<sst xmlns="http://schemas.openxmlformats.org/spreadsheetml/2006/main" count="73" uniqueCount="67">
  <si>
    <r>
      <rPr>
        <b/>
        <sz val="22"/>
        <color theme="1"/>
        <rFont val="Arial"/>
        <charset val="134"/>
      </rPr>
      <t>DAK TECHNOLOGY CO., LIMITED</t>
    </r>
    <r>
      <rPr>
        <sz val="18"/>
        <color theme="1"/>
        <rFont val="Calibri"/>
        <charset val="134"/>
      </rPr>
      <t xml:space="preserve">
</t>
    </r>
    <r>
      <rPr>
        <sz val="16"/>
        <color theme="1"/>
        <rFont val="Calibri"/>
        <charset val="134"/>
      </rPr>
      <t>ADD: 3-4/F,building D, De Mei Industiral center, Donghuan Second Road, Longhua New District,Shenzhen, China 
Email: Nick@choetech.com          Contact: Nick  Mobile: 86-15220126564</t>
    </r>
  </si>
  <si>
    <t>PI No.:</t>
  </si>
  <si>
    <r>
      <t>PI-Nick-</t>
    </r>
    <r>
      <rPr>
        <sz val="16"/>
        <color theme="1"/>
        <rFont val="宋体"/>
        <charset val="134"/>
      </rPr>
      <t>时间</t>
    </r>
    <r>
      <rPr>
        <sz val="16"/>
        <color theme="1"/>
        <rFont val="Calibri"/>
        <charset val="134"/>
      </rPr>
      <t>-</t>
    </r>
    <r>
      <rPr>
        <sz val="16"/>
        <color theme="1"/>
        <rFont val="宋体"/>
        <charset val="134"/>
      </rPr>
      <t>国家</t>
    </r>
  </si>
  <si>
    <t>PI Date:</t>
  </si>
  <si>
    <t>时间</t>
  </si>
  <si>
    <t>Customer Code</t>
  </si>
  <si>
    <t>The Buyer</t>
  </si>
  <si>
    <t>Consignee</t>
  </si>
  <si>
    <t>Company name:</t>
  </si>
  <si>
    <t>DAK TECHNOLOGY CO., LIMITED</t>
  </si>
  <si>
    <t>Address :</t>
  </si>
  <si>
    <t>2-3/F,building D, De Mei Industiral center, Donghuan Second Road, Longhua New District,Shenzhen, China</t>
  </si>
  <si>
    <t>Contact Person:</t>
  </si>
  <si>
    <t>Nick Song</t>
  </si>
  <si>
    <t>Email:</t>
  </si>
  <si>
    <t>Nick@choetech.com</t>
  </si>
  <si>
    <t>Tel.:</t>
  </si>
  <si>
    <t>86-18482191938</t>
  </si>
  <si>
    <t>Proforma Invoice</t>
  </si>
  <si>
    <t>NO.</t>
  </si>
  <si>
    <t>Model No.</t>
  </si>
  <si>
    <t>Item code</t>
  </si>
  <si>
    <t>Product Description</t>
  </si>
  <si>
    <t>ENA CODE</t>
  </si>
  <si>
    <t>Color</t>
  </si>
  <si>
    <t>Picture</t>
  </si>
  <si>
    <t>Unit Price</t>
  </si>
  <si>
    <t>QTY</t>
  </si>
  <si>
    <t>Sub-total (USD)</t>
  </si>
  <si>
    <t>T231-F</t>
  </si>
  <si>
    <t>01.01.01.XX-T231-F-101XACBK</t>
  </si>
  <si>
    <t>15W Qi2 Magnetic car charger holder</t>
  </si>
  <si>
    <t>6932112105387</t>
  </si>
  <si>
    <t>BLACK</t>
  </si>
  <si>
    <t>T608</t>
  </si>
  <si>
    <t>01.01.01.XX-T608-F-CCWH</t>
  </si>
  <si>
    <t>Choetech 3in1 wireless charging with removable iwatch charger holder (Compatible with both Apple and Samsung) black</t>
  </si>
  <si>
    <t>6932112108647</t>
  </si>
  <si>
    <t>WHITE</t>
  </si>
  <si>
    <t>PD6052</t>
  </si>
  <si>
    <t>01.01.02.XX-PD6052-EU-BK</t>
  </si>
  <si>
    <t>Choetech PD35W GAN A+C Display wall charger US black</t>
  </si>
  <si>
    <t>6932112106179</t>
  </si>
  <si>
    <t>Total</t>
  </si>
  <si>
    <t>1. TRADE TERMS&amp; CONDITIONS</t>
  </si>
  <si>
    <t>Trade Terms:</t>
  </si>
  <si>
    <t>EXW</t>
  </si>
  <si>
    <t>Payment Terms:</t>
  </si>
  <si>
    <t>T/T 100%  before shipment</t>
  </si>
  <si>
    <t>Delivery Time:</t>
  </si>
  <si>
    <t>Within 45 days after order confirmed by down payment</t>
  </si>
  <si>
    <t>Package</t>
  </si>
  <si>
    <t>Choetech brand packaging</t>
  </si>
  <si>
    <t>Warranty:</t>
  </si>
  <si>
    <t>24 month from shipment date</t>
  </si>
  <si>
    <t>Other specifited terms &amp; conditions:</t>
  </si>
  <si>
    <t>2. OFFSHORE USD ACCOUNT :</t>
  </si>
  <si>
    <t>Beneficiary Bank:</t>
  </si>
  <si>
    <t>ONGKONG AND SHANGHAI BANKING CORPORATION LIMITE</t>
  </si>
  <si>
    <t>Beneficiary Name:</t>
  </si>
  <si>
    <t>AK TECHNOL0GY CO.,LIMITEI</t>
  </si>
  <si>
    <t>Beneficiary Account:</t>
  </si>
  <si>
    <t>149-765729-838</t>
  </si>
  <si>
    <t>Beneficiary Bank SWIFT:</t>
  </si>
  <si>
    <t>HSBCHKHHHKH</t>
  </si>
  <si>
    <t>Beneficiary Bank Adress:</t>
  </si>
  <si>
    <t>1Queen's Road Central,Hong kong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</si>
</sst>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3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409]yyyy/m/d\ h:mm\ AM/PM;@"/>
    <numFmt numFmtId="177" formatCode="&quot;￥&quot;#,##0.0000_);\(&quot;￥&quot;#,##0.0000\)"/>
    <numFmt numFmtId="178" formatCode="&quot;US$&quot;#,##0.00;\-&quot;US$&quot;#,##0.00"/>
    <numFmt numFmtId="179" formatCode="&quot;￥&quot;#,##0.00_);\(&quot;￥&quot;#,##0.00\)"/>
    <numFmt numFmtId="180" formatCode="[$-409]yyyy\-mm\-dd;@"/>
    <numFmt numFmtId="181" formatCode="\¥#,##0.00;[Red]\¥#,##0.00"/>
    <numFmt numFmtId="182" formatCode="\$#,##0.00;[Red]\-\$#,##0.00"/>
    <numFmt numFmtId="183" formatCode="&quot;US$&quot;#,##0.00_);\(&quot;US$&quot;#,##0.00\)"/>
    <numFmt numFmtId="184" formatCode="\$#,##0.00;\-\$#,##0.00"/>
  </numFmts>
  <fonts count="44">
    <font>
      <sz val="11"/>
      <color theme="1"/>
      <name val="宋体"/>
      <charset val="134"/>
      <scheme val="minor"/>
    </font>
    <font>
      <sz val="11"/>
      <color theme="1"/>
      <name val="Arial"/>
      <charset val="134"/>
    </font>
    <font>
      <sz val="16"/>
      <color theme="1"/>
      <name val="Calibri"/>
      <charset val="134"/>
    </font>
    <font>
      <b/>
      <sz val="16"/>
      <color theme="1"/>
      <name val="Arial"/>
      <charset val="134"/>
    </font>
    <font>
      <sz val="14"/>
      <color theme="1"/>
      <name val="Arial"/>
      <charset val="134"/>
    </font>
    <font>
      <b/>
      <sz val="22"/>
      <color theme="1"/>
      <name val="Arial"/>
      <charset val="134"/>
    </font>
    <font>
      <sz val="16"/>
      <color theme="1"/>
      <name val="宋体"/>
      <charset val="134"/>
    </font>
    <font>
      <u/>
      <sz val="11"/>
      <color rgb="FF0000FF"/>
      <name val="宋体"/>
      <charset val="0"/>
      <scheme val="minor"/>
    </font>
    <font>
      <b/>
      <sz val="22"/>
      <color theme="0"/>
      <name val="Arial"/>
      <charset val="134"/>
    </font>
    <font>
      <b/>
      <sz val="28"/>
      <color theme="0"/>
      <name val="Arial"/>
      <charset val="134"/>
    </font>
    <font>
      <b/>
      <sz val="16"/>
      <name val="Arial"/>
      <charset val="134"/>
    </font>
    <font>
      <sz val="14"/>
      <color theme="1"/>
      <name val="Calibri"/>
      <charset val="134"/>
    </font>
    <font>
      <sz val="16"/>
      <color rgb="FF000000"/>
      <name val="Calibri"/>
      <charset val="134"/>
    </font>
    <font>
      <sz val="14"/>
      <name val="Calibri"/>
      <charset val="134"/>
    </font>
    <font>
      <sz val="16"/>
      <name val="Calibri"/>
      <charset val="134"/>
    </font>
    <font>
      <b/>
      <sz val="16"/>
      <color theme="1"/>
      <name val="Calibri"/>
      <charset val="134"/>
    </font>
    <font>
      <sz val="16"/>
      <color rgb="FFFF0000"/>
      <name val="Calibri"/>
      <charset val="134"/>
    </font>
    <font>
      <sz val="16"/>
      <color theme="1"/>
      <name val="Arial"/>
      <charset val="134"/>
    </font>
    <font>
      <b/>
      <sz val="14"/>
      <color theme="1"/>
      <name val="Calibri"/>
      <charset val="134"/>
    </font>
    <font>
      <b/>
      <sz val="14"/>
      <color theme="1"/>
      <name val="Arial"/>
      <charset val="134"/>
    </font>
    <font>
      <b/>
      <sz val="16"/>
      <color theme="0"/>
      <name val="Arial"/>
      <charset val="134"/>
    </font>
    <font>
      <b/>
      <sz val="16"/>
      <color rgb="FFFF0000"/>
      <name val="Calibri"/>
      <charset val="134"/>
    </font>
    <font>
      <sz val="11.95"/>
      <color rgb="FF000000"/>
      <name val="宋体"/>
      <charset val="134"/>
      <scheme val="minor"/>
    </font>
    <font>
      <sz val="11"/>
      <color rgb="FFFF0000"/>
      <name val="Arial"/>
      <charset val="134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name val="宋体"/>
      <charset val="134"/>
    </font>
    <font>
      <sz val="18"/>
      <color theme="1"/>
      <name val="Calibri"/>
      <charset val="134"/>
    </font>
  </fonts>
  <fills count="37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99DBDD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0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3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0" fillId="6" borderId="22" applyNumberFormat="0" applyFont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0" borderId="23" applyNumberFormat="0" applyFill="0" applyAlignment="0" applyProtection="0">
      <alignment vertical="center"/>
    </xf>
    <xf numFmtId="0" fontId="29" fillId="0" borderId="23" applyNumberFormat="0" applyFill="0" applyAlignment="0" applyProtection="0">
      <alignment vertical="center"/>
    </xf>
    <xf numFmtId="0" fontId="30" fillId="0" borderId="24" applyNumberFormat="0" applyFill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1" fillId="7" borderId="25" applyNumberFormat="0" applyAlignment="0" applyProtection="0">
      <alignment vertical="center"/>
    </xf>
    <xf numFmtId="0" fontId="32" fillId="8" borderId="26" applyNumberFormat="0" applyAlignment="0" applyProtection="0">
      <alignment vertical="center"/>
    </xf>
    <xf numFmtId="0" fontId="33" fillId="8" borderId="25" applyNumberFormat="0" applyAlignment="0" applyProtection="0">
      <alignment vertical="center"/>
    </xf>
    <xf numFmtId="0" fontId="34" fillId="9" borderId="27" applyNumberFormat="0" applyAlignment="0" applyProtection="0">
      <alignment vertical="center"/>
    </xf>
    <xf numFmtId="0" fontId="35" fillId="0" borderId="28" applyNumberFormat="0" applyFill="0" applyAlignment="0" applyProtection="0">
      <alignment vertical="center"/>
    </xf>
    <xf numFmtId="0" fontId="36" fillId="0" borderId="29" applyNumberFormat="0" applyFill="0" applyAlignment="0" applyProtection="0">
      <alignment vertical="center"/>
    </xf>
    <xf numFmtId="0" fontId="37" fillId="10" borderId="0" applyNumberFormat="0" applyBorder="0" applyAlignment="0" applyProtection="0">
      <alignment vertical="center"/>
    </xf>
    <xf numFmtId="0" fontId="38" fillId="11" borderId="0" applyNumberFormat="0" applyBorder="0" applyAlignment="0" applyProtection="0">
      <alignment vertical="center"/>
    </xf>
    <xf numFmtId="0" fontId="39" fillId="12" borderId="0" applyNumberFormat="0" applyBorder="0" applyAlignment="0" applyProtection="0">
      <alignment vertical="center"/>
    </xf>
    <xf numFmtId="0" fontId="40" fillId="13" borderId="0" applyNumberFormat="0" applyBorder="0" applyAlignment="0" applyProtection="0">
      <alignment vertical="center"/>
    </xf>
    <xf numFmtId="0" fontId="41" fillId="14" borderId="0" applyNumberFormat="0" applyBorder="0" applyAlignment="0" applyProtection="0">
      <alignment vertical="center"/>
    </xf>
    <xf numFmtId="0" fontId="41" fillId="15" borderId="0" applyNumberFormat="0" applyBorder="0" applyAlignment="0" applyProtection="0">
      <alignment vertical="center"/>
    </xf>
    <xf numFmtId="0" fontId="40" fillId="16" borderId="0" applyNumberFormat="0" applyBorder="0" applyAlignment="0" applyProtection="0">
      <alignment vertical="center"/>
    </xf>
    <xf numFmtId="0" fontId="40" fillId="17" borderId="0" applyNumberFormat="0" applyBorder="0" applyAlignment="0" applyProtection="0">
      <alignment vertical="center"/>
    </xf>
    <xf numFmtId="0" fontId="41" fillId="18" borderId="0" applyNumberFormat="0" applyBorder="0" applyAlignment="0" applyProtection="0">
      <alignment vertical="center"/>
    </xf>
    <xf numFmtId="0" fontId="41" fillId="19" borderId="0" applyNumberFormat="0" applyBorder="0" applyAlignment="0" applyProtection="0">
      <alignment vertical="center"/>
    </xf>
    <xf numFmtId="0" fontId="40" fillId="20" borderId="0" applyNumberFormat="0" applyBorder="0" applyAlignment="0" applyProtection="0">
      <alignment vertical="center"/>
    </xf>
    <xf numFmtId="0" fontId="40" fillId="21" borderId="0" applyNumberFormat="0" applyBorder="0" applyAlignment="0" applyProtection="0">
      <alignment vertical="center"/>
    </xf>
    <xf numFmtId="0" fontId="41" fillId="22" borderId="0" applyNumberFormat="0" applyBorder="0" applyAlignment="0" applyProtection="0">
      <alignment vertical="center"/>
    </xf>
    <xf numFmtId="0" fontId="41" fillId="23" borderId="0" applyNumberFormat="0" applyBorder="0" applyAlignment="0" applyProtection="0">
      <alignment vertical="center"/>
    </xf>
    <xf numFmtId="0" fontId="40" fillId="24" borderId="0" applyNumberFormat="0" applyBorder="0" applyAlignment="0" applyProtection="0">
      <alignment vertical="center"/>
    </xf>
    <xf numFmtId="0" fontId="40" fillId="25" borderId="0" applyNumberFormat="0" applyBorder="0" applyAlignment="0" applyProtection="0">
      <alignment vertical="center"/>
    </xf>
    <xf numFmtId="0" fontId="41" fillId="26" borderId="0" applyNumberFormat="0" applyBorder="0" applyAlignment="0" applyProtection="0">
      <alignment vertical="center"/>
    </xf>
    <xf numFmtId="0" fontId="41" fillId="27" borderId="0" applyNumberFormat="0" applyBorder="0" applyAlignment="0" applyProtection="0">
      <alignment vertical="center"/>
    </xf>
    <xf numFmtId="0" fontId="40" fillId="28" borderId="0" applyNumberFormat="0" applyBorder="0" applyAlignment="0" applyProtection="0">
      <alignment vertical="center"/>
    </xf>
    <xf numFmtId="0" fontId="40" fillId="29" borderId="0" applyNumberFormat="0" applyBorder="0" applyAlignment="0" applyProtection="0">
      <alignment vertical="center"/>
    </xf>
    <xf numFmtId="0" fontId="41" fillId="30" borderId="0" applyNumberFormat="0" applyBorder="0" applyAlignment="0" applyProtection="0">
      <alignment vertical="center"/>
    </xf>
    <xf numFmtId="0" fontId="41" fillId="31" borderId="0" applyNumberFormat="0" applyBorder="0" applyAlignment="0" applyProtection="0">
      <alignment vertical="center"/>
    </xf>
    <xf numFmtId="0" fontId="40" fillId="32" borderId="0" applyNumberFormat="0" applyBorder="0" applyAlignment="0" applyProtection="0">
      <alignment vertical="center"/>
    </xf>
    <xf numFmtId="0" fontId="40" fillId="33" borderId="0" applyNumberFormat="0" applyBorder="0" applyAlignment="0" applyProtection="0">
      <alignment vertical="center"/>
    </xf>
    <xf numFmtId="0" fontId="41" fillId="34" borderId="0" applyNumberFormat="0" applyBorder="0" applyAlignment="0" applyProtection="0">
      <alignment vertical="center"/>
    </xf>
    <xf numFmtId="0" fontId="41" fillId="35" borderId="0" applyNumberFormat="0" applyBorder="0" applyAlignment="0" applyProtection="0">
      <alignment vertical="center"/>
    </xf>
    <xf numFmtId="0" fontId="40" fillId="36" borderId="0" applyNumberFormat="0" applyBorder="0" applyAlignment="0" applyProtection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176" fontId="0" fillId="0" borderId="0">
      <alignment vertical="center"/>
    </xf>
    <xf numFmtId="0" fontId="0" fillId="0" borderId="0">
      <alignment vertical="center"/>
    </xf>
  </cellStyleXfs>
  <cellXfs count="103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3" fillId="0" borderId="0" xfId="0" applyFont="1" applyFill="1" applyAlignment="1">
      <alignment vertical="center" wrapText="1"/>
    </xf>
    <xf numFmtId="0" fontId="2" fillId="0" borderId="0" xfId="0" applyFont="1" applyFill="1" applyAlignment="1">
      <alignment vertical="center"/>
    </xf>
    <xf numFmtId="0" fontId="1" fillId="0" borderId="0" xfId="0" applyFont="1" applyFill="1" applyAlignment="1">
      <alignment vertical="center"/>
    </xf>
    <xf numFmtId="0" fontId="4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177" fontId="1" fillId="0" borderId="0" xfId="0" applyNumberFormat="1" applyFont="1">
      <alignment vertical="center"/>
    </xf>
    <xf numFmtId="178" fontId="1" fillId="0" borderId="0" xfId="0" applyNumberFormat="1" applyFont="1">
      <alignment vertical="center"/>
    </xf>
    <xf numFmtId="179" fontId="1" fillId="0" borderId="0" xfId="0" applyNumberFormat="1" applyFont="1">
      <alignment vertical="center"/>
    </xf>
    <xf numFmtId="0" fontId="5" fillId="0" borderId="1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177" fontId="5" fillId="0" borderId="2" xfId="0" applyNumberFormat="1" applyFont="1" applyBorder="1" applyAlignment="1">
      <alignment horizontal="center" vertical="center" wrapText="1"/>
    </xf>
    <xf numFmtId="178" fontId="5" fillId="0" borderId="2" xfId="0" applyNumberFormat="1" applyFont="1" applyBorder="1" applyAlignment="1">
      <alignment horizontal="center" vertical="center" wrapText="1"/>
    </xf>
    <xf numFmtId="179" fontId="5" fillId="0" borderId="3" xfId="0" applyNumberFormat="1" applyFont="1" applyBorder="1" applyAlignment="1">
      <alignment horizontal="center" vertical="center" wrapText="1"/>
    </xf>
    <xf numFmtId="0" fontId="2" fillId="0" borderId="4" xfId="0" applyFont="1" applyBorder="1" applyAlignment="1">
      <alignment vertical="center" wrapText="1"/>
    </xf>
    <xf numFmtId="0" fontId="2" fillId="0" borderId="5" xfId="0" applyFont="1" applyBorder="1" applyAlignment="1">
      <alignment vertical="center" wrapText="1"/>
    </xf>
    <xf numFmtId="0" fontId="2" fillId="0" borderId="5" xfId="0" applyFont="1" applyBorder="1" applyAlignment="1">
      <alignment horizontal="left" vertical="center" wrapText="1"/>
    </xf>
    <xf numFmtId="180" fontId="6" fillId="0" borderId="5" xfId="0" applyNumberFormat="1" applyFont="1" applyBorder="1" applyAlignment="1">
      <alignment horizontal="left" vertical="center" wrapText="1"/>
    </xf>
    <xf numFmtId="180" fontId="2" fillId="0" borderId="5" xfId="0" applyNumberFormat="1" applyFont="1" applyBorder="1" applyAlignment="1">
      <alignment horizontal="left" vertical="center" wrapText="1"/>
    </xf>
    <xf numFmtId="180" fontId="2" fillId="0" borderId="6" xfId="0" applyNumberFormat="1" applyFont="1" applyBorder="1" applyAlignment="1">
      <alignment horizontal="left" vertical="center" wrapText="1"/>
    </xf>
    <xf numFmtId="0" fontId="2" fillId="0" borderId="7" xfId="0" applyFont="1" applyBorder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vertical="center" wrapText="1"/>
    </xf>
    <xf numFmtId="177" fontId="2" fillId="0" borderId="0" xfId="0" applyNumberFormat="1" applyFont="1" applyAlignment="1">
      <alignment horizontal="left" vertical="center" wrapText="1"/>
    </xf>
    <xf numFmtId="179" fontId="2" fillId="0" borderId="0" xfId="0" applyNumberFormat="1" applyFont="1" applyAlignment="1">
      <alignment horizontal="left" vertical="center" wrapText="1"/>
    </xf>
    <xf numFmtId="179" fontId="2" fillId="0" borderId="8" xfId="0" applyNumberFormat="1" applyFont="1" applyBorder="1" applyAlignment="1">
      <alignment horizontal="left" vertical="center" wrapText="1"/>
    </xf>
    <xf numFmtId="0" fontId="2" fillId="0" borderId="7" xfId="0" applyFont="1" applyBorder="1" applyAlignment="1">
      <alignment vertical="center" wrapText="1"/>
    </xf>
    <xf numFmtId="0" fontId="2" fillId="0" borderId="8" xfId="0" applyFont="1" applyBorder="1" applyAlignment="1">
      <alignment horizontal="left" vertical="center" wrapText="1"/>
    </xf>
    <xf numFmtId="0" fontId="7" fillId="0" borderId="0" xfId="6" applyAlignment="1">
      <alignment horizontal="left" vertical="center" wrapText="1"/>
    </xf>
    <xf numFmtId="177" fontId="7" fillId="0" borderId="0" xfId="6" applyNumberFormat="1" applyAlignment="1">
      <alignment horizontal="left" vertical="center" wrapText="1"/>
    </xf>
    <xf numFmtId="0" fontId="8" fillId="2" borderId="7" xfId="0" applyFont="1" applyFill="1" applyBorder="1" applyAlignment="1">
      <alignment horizontal="center" vertical="center" wrapText="1"/>
    </xf>
    <xf numFmtId="0" fontId="9" fillId="2" borderId="0" xfId="0" applyFont="1" applyFill="1" applyAlignment="1">
      <alignment horizontal="center" vertical="center" wrapText="1"/>
    </xf>
    <xf numFmtId="177" fontId="9" fillId="2" borderId="0" xfId="0" applyNumberFormat="1" applyFont="1" applyFill="1" applyAlignment="1">
      <alignment horizontal="center" vertical="center" wrapText="1"/>
    </xf>
    <xf numFmtId="178" fontId="9" fillId="2" borderId="0" xfId="0" applyNumberFormat="1" applyFont="1" applyFill="1" applyAlignment="1">
      <alignment horizontal="center" vertical="center" wrapText="1"/>
    </xf>
    <xf numFmtId="179" fontId="9" fillId="2" borderId="8" xfId="0" applyNumberFormat="1" applyFont="1" applyFill="1" applyBorder="1" applyAlignment="1">
      <alignment horizontal="center" vertical="center" wrapText="1"/>
    </xf>
    <xf numFmtId="0" fontId="10" fillId="3" borderId="9" xfId="50" applyFont="1" applyFill="1" applyBorder="1" applyAlignment="1">
      <alignment horizontal="center" vertical="center" wrapText="1"/>
    </xf>
    <xf numFmtId="0" fontId="10" fillId="3" borderId="10" xfId="50" applyFont="1" applyFill="1" applyBorder="1" applyAlignment="1">
      <alignment horizontal="center" vertical="center" wrapText="1"/>
    </xf>
    <xf numFmtId="0" fontId="10" fillId="3" borderId="10" xfId="50" applyFont="1" applyFill="1" applyBorder="1" applyAlignment="1">
      <alignment horizontal="center" vertical="center"/>
    </xf>
    <xf numFmtId="181" fontId="10" fillId="3" borderId="10" xfId="50" applyNumberFormat="1" applyFont="1" applyFill="1" applyBorder="1" applyAlignment="1">
      <alignment horizontal="center" vertical="center" wrapText="1"/>
    </xf>
    <xf numFmtId="179" fontId="10" fillId="3" borderId="10" xfId="50" applyNumberFormat="1" applyFont="1" applyFill="1" applyBorder="1" applyAlignment="1">
      <alignment horizontal="center" vertical="center" wrapText="1"/>
    </xf>
    <xf numFmtId="0" fontId="10" fillId="3" borderId="10" xfId="49" applyFont="1" applyFill="1" applyBorder="1" applyAlignment="1">
      <alignment horizontal="center" vertical="center" wrapText="1"/>
    </xf>
    <xf numFmtId="179" fontId="3" fillId="3" borderId="11" xfId="50" applyNumberFormat="1" applyFont="1" applyFill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11" fillId="0" borderId="13" xfId="0" applyFont="1" applyFill="1" applyBorder="1" applyAlignment="1">
      <alignment horizontal="center" vertical="center"/>
    </xf>
    <xf numFmtId="0" fontId="11" fillId="0" borderId="10" xfId="0" applyFont="1" applyFill="1" applyBorder="1" applyAlignment="1">
      <alignment horizontal="center" vertical="center" wrapText="1"/>
    </xf>
    <xf numFmtId="0" fontId="11" fillId="0" borderId="13" xfId="0" applyFont="1" applyFill="1" applyBorder="1" applyAlignment="1">
      <alignment vertical="center" wrapText="1"/>
    </xf>
    <xf numFmtId="0" fontId="11" fillId="0" borderId="13" xfId="0" applyNumberFormat="1" applyFont="1" applyFill="1" applyBorder="1" applyAlignment="1">
      <alignment horizontal="center" vertical="center" wrapText="1"/>
    </xf>
    <xf numFmtId="0" fontId="12" fillId="0" borderId="13" xfId="0" applyFont="1" applyBorder="1" applyAlignment="1">
      <alignment horizontal="center" vertical="center"/>
    </xf>
    <xf numFmtId="182" fontId="2" fillId="0" borderId="13" xfId="0" applyNumberFormat="1" applyFont="1" applyBorder="1" applyAlignment="1">
      <alignment vertical="center" wrapText="1"/>
    </xf>
    <xf numFmtId="178" fontId="13" fillId="0" borderId="10" xfId="0" applyNumberFormat="1" applyFont="1" applyFill="1" applyBorder="1" applyAlignment="1">
      <alignment horizontal="center" vertical="center"/>
    </xf>
    <xf numFmtId="0" fontId="14" fillId="4" borderId="13" xfId="0" applyFont="1" applyFill="1" applyBorder="1" applyAlignment="1">
      <alignment horizontal="center" vertical="center"/>
    </xf>
    <xf numFmtId="183" fontId="2" fillId="0" borderId="14" xfId="0" applyNumberFormat="1" applyFont="1" applyBorder="1" applyAlignment="1">
      <alignment horizontal="center" vertical="center"/>
    </xf>
    <xf numFmtId="0" fontId="14" fillId="0" borderId="13" xfId="0" applyFont="1" applyBorder="1" applyAlignment="1">
      <alignment horizontal="center" vertical="center" wrapText="1"/>
    </xf>
    <xf numFmtId="0" fontId="13" fillId="0" borderId="13" xfId="50" applyFont="1" applyFill="1" applyBorder="1" applyAlignment="1">
      <alignment horizontal="left" vertical="center" wrapText="1"/>
    </xf>
    <xf numFmtId="0" fontId="14" fillId="0" borderId="13" xfId="0" applyFont="1" applyFill="1" applyBorder="1" applyAlignment="1">
      <alignment horizontal="center" vertical="center" wrapText="1"/>
    </xf>
    <xf numFmtId="0" fontId="12" fillId="0" borderId="13" xfId="0" applyFont="1" applyFill="1" applyBorder="1" applyAlignment="1">
      <alignment horizontal="center" vertical="center"/>
    </xf>
    <xf numFmtId="0" fontId="11" fillId="0" borderId="13" xfId="50" applyFont="1" applyFill="1" applyBorder="1" applyAlignment="1">
      <alignment horizontal="center" vertical="center" wrapText="1"/>
    </xf>
    <xf numFmtId="0" fontId="11" fillId="5" borderId="13" xfId="0" applyFont="1" applyFill="1" applyBorder="1" applyAlignment="1">
      <alignment vertical="center" wrapText="1"/>
    </xf>
    <xf numFmtId="0" fontId="2" fillId="0" borderId="15" xfId="0" applyFont="1" applyBorder="1" applyAlignment="1">
      <alignment horizontal="right" vertical="center" wrapText="1"/>
    </xf>
    <xf numFmtId="0" fontId="2" fillId="0" borderId="16" xfId="0" applyFont="1" applyBorder="1" applyAlignment="1">
      <alignment horizontal="right" vertical="center" wrapText="1"/>
    </xf>
    <xf numFmtId="177" fontId="2" fillId="0" borderId="17" xfId="0" applyNumberFormat="1" applyFont="1" applyBorder="1" applyAlignment="1">
      <alignment horizontal="right" vertical="center" wrapText="1"/>
    </xf>
    <xf numFmtId="184" fontId="2" fillId="0" borderId="14" xfId="0" applyNumberFormat="1" applyFont="1" applyBorder="1" applyAlignment="1">
      <alignment horizontal="center" vertical="center"/>
    </xf>
    <xf numFmtId="0" fontId="3" fillId="0" borderId="7" xfId="0" applyFont="1" applyFill="1" applyBorder="1" applyAlignment="1">
      <alignment horizontal="left" vertical="center" wrapText="1"/>
    </xf>
    <xf numFmtId="0" fontId="3" fillId="0" borderId="18" xfId="0" applyFont="1" applyFill="1" applyBorder="1" applyAlignment="1">
      <alignment horizontal="left" vertical="center" wrapText="1"/>
    </xf>
    <xf numFmtId="177" fontId="3" fillId="0" borderId="0" xfId="0" applyNumberFormat="1" applyFont="1" applyFill="1" applyAlignment="1">
      <alignment horizontal="left" vertical="center" wrapText="1"/>
    </xf>
    <xf numFmtId="0" fontId="3" fillId="0" borderId="8" xfId="0" applyFont="1" applyFill="1" applyBorder="1" applyAlignment="1">
      <alignment horizontal="left" vertical="center" wrapText="1"/>
    </xf>
    <xf numFmtId="0" fontId="3" fillId="0" borderId="0" xfId="0" applyFont="1" applyFill="1" applyAlignment="1">
      <alignment horizontal="left" vertical="center" wrapText="1"/>
    </xf>
    <xf numFmtId="0" fontId="15" fillId="0" borderId="7" xfId="0" applyFont="1" applyFill="1" applyBorder="1" applyAlignment="1">
      <alignment horizontal="left" vertical="center" wrapText="1"/>
    </xf>
    <xf numFmtId="0" fontId="15" fillId="0" borderId="0" xfId="0" applyFont="1" applyFill="1" applyBorder="1" applyAlignment="1">
      <alignment horizontal="left" vertical="center" wrapText="1"/>
    </xf>
    <xf numFmtId="0" fontId="2" fillId="0" borderId="0" xfId="0" applyFont="1" applyFill="1" applyAlignment="1">
      <alignment vertical="center" wrapText="1"/>
    </xf>
    <xf numFmtId="0" fontId="2" fillId="0" borderId="0" xfId="0" applyFont="1" applyFill="1" applyAlignment="1">
      <alignment horizontal="center" vertical="center" wrapText="1"/>
    </xf>
    <xf numFmtId="177" fontId="2" fillId="0" borderId="0" xfId="0" applyNumberFormat="1" applyFont="1" applyFill="1" applyAlignment="1">
      <alignment horizontal="center" vertical="center" wrapText="1"/>
    </xf>
    <xf numFmtId="0" fontId="2" fillId="0" borderId="8" xfId="0" applyFont="1" applyFill="1" applyBorder="1" applyAlignment="1">
      <alignment vertical="center"/>
    </xf>
    <xf numFmtId="0" fontId="16" fillId="0" borderId="0" xfId="0" applyFont="1" applyFill="1" applyAlignment="1">
      <alignment horizontal="left" vertical="center" wrapText="1"/>
    </xf>
    <xf numFmtId="0" fontId="2" fillId="0" borderId="0" xfId="0" applyFont="1" applyFill="1" applyAlignment="1">
      <alignment horizontal="left" vertical="center" wrapText="1"/>
    </xf>
    <xf numFmtId="177" fontId="2" fillId="0" borderId="0" xfId="0" applyNumberFormat="1" applyFont="1" applyFill="1" applyAlignment="1">
      <alignment horizontal="left" vertical="center" wrapText="1"/>
    </xf>
    <xf numFmtId="0" fontId="2" fillId="0" borderId="8" xfId="0" applyFont="1" applyFill="1" applyBorder="1" applyAlignment="1">
      <alignment horizontal="left" vertical="center" wrapText="1"/>
    </xf>
    <xf numFmtId="0" fontId="2" fillId="0" borderId="0" xfId="0" applyFont="1" applyFill="1" applyBorder="1" applyAlignment="1">
      <alignment horizontal="left" vertical="center" wrapText="1"/>
    </xf>
    <xf numFmtId="177" fontId="17" fillId="0" borderId="0" xfId="0" applyNumberFormat="1" applyFont="1" applyFill="1" applyAlignment="1">
      <alignment horizontal="center" vertical="center" wrapText="1"/>
    </xf>
    <xf numFmtId="0" fontId="17" fillId="0" borderId="0" xfId="0" applyFont="1" applyFill="1" applyAlignment="1">
      <alignment horizontal="center" vertical="center" wrapText="1"/>
    </xf>
    <xf numFmtId="0" fontId="18" fillId="0" borderId="7" xfId="0" applyFont="1" applyFill="1" applyBorder="1" applyAlignment="1">
      <alignment horizontal="left" vertical="center" wrapText="1"/>
    </xf>
    <xf numFmtId="0" fontId="18" fillId="0" borderId="0" xfId="0" applyFont="1" applyFill="1" applyBorder="1" applyAlignment="1">
      <alignment horizontal="left" vertical="center" wrapText="1"/>
    </xf>
    <xf numFmtId="177" fontId="19" fillId="0" borderId="0" xfId="0" applyNumberFormat="1" applyFont="1" applyFill="1" applyBorder="1" applyAlignment="1">
      <alignment horizontal="left" vertical="center" wrapText="1"/>
    </xf>
    <xf numFmtId="0" fontId="19" fillId="0" borderId="0" xfId="0" applyFont="1" applyFill="1" applyBorder="1" applyAlignment="1">
      <alignment horizontal="left" vertical="center" wrapText="1"/>
    </xf>
    <xf numFmtId="0" fontId="1" fillId="0" borderId="8" xfId="0" applyFont="1" applyFill="1" applyBorder="1" applyAlignment="1">
      <alignment vertical="center"/>
    </xf>
    <xf numFmtId="0" fontId="19" fillId="0" borderId="7" xfId="0" applyFont="1" applyFill="1" applyBorder="1" applyAlignment="1">
      <alignment horizontal="left" vertical="center" wrapText="1"/>
    </xf>
    <xf numFmtId="178" fontId="19" fillId="0" borderId="0" xfId="0" applyNumberFormat="1" applyFont="1" applyFill="1" applyBorder="1" applyAlignment="1">
      <alignment horizontal="left" vertical="center" wrapText="1"/>
    </xf>
    <xf numFmtId="0" fontId="20" fillId="0" borderId="8" xfId="0" applyFont="1" applyFill="1" applyBorder="1" applyAlignment="1">
      <alignment horizontal="left" vertical="center"/>
    </xf>
    <xf numFmtId="0" fontId="21" fillId="5" borderId="7" xfId="0" applyFont="1" applyFill="1" applyBorder="1" applyAlignment="1">
      <alignment horizontal="left" vertical="center"/>
    </xf>
    <xf numFmtId="0" fontId="21" fillId="5" borderId="0" xfId="0" applyFont="1" applyFill="1" applyAlignment="1">
      <alignment horizontal="left" vertical="center"/>
    </xf>
    <xf numFmtId="177" fontId="21" fillId="5" borderId="0" xfId="0" applyNumberFormat="1" applyFont="1" applyFill="1" applyAlignment="1">
      <alignment horizontal="left" vertical="center"/>
    </xf>
    <xf numFmtId="0" fontId="21" fillId="5" borderId="0" xfId="0" applyFont="1" applyFill="1" applyAlignment="1">
      <alignment vertical="center" wrapText="1"/>
    </xf>
    <xf numFmtId="177" fontId="21" fillId="5" borderId="0" xfId="0" applyNumberFormat="1" applyFont="1" applyFill="1" applyAlignment="1">
      <alignment vertical="center" wrapText="1"/>
    </xf>
    <xf numFmtId="0" fontId="22" fillId="0" borderId="0" xfId="0" applyFont="1">
      <alignment vertical="center"/>
    </xf>
    <xf numFmtId="0" fontId="21" fillId="5" borderId="19" xfId="0" applyFont="1" applyFill="1" applyBorder="1" applyAlignment="1">
      <alignment horizontal="left" vertical="center"/>
    </xf>
    <xf numFmtId="0" fontId="21" fillId="5" borderId="20" xfId="0" applyFont="1" applyFill="1" applyBorder="1" applyAlignment="1">
      <alignment horizontal="left" vertical="center"/>
    </xf>
    <xf numFmtId="0" fontId="16" fillId="5" borderId="20" xfId="0" applyFont="1" applyFill="1" applyBorder="1" applyAlignment="1">
      <alignment vertical="center"/>
    </xf>
    <xf numFmtId="0" fontId="23" fillId="5" borderId="20" xfId="0" applyFont="1" applyFill="1" applyBorder="1" applyAlignment="1">
      <alignment vertical="center"/>
    </xf>
    <xf numFmtId="177" fontId="23" fillId="5" borderId="20" xfId="0" applyNumberFormat="1" applyFont="1" applyFill="1" applyBorder="1" applyAlignment="1">
      <alignment vertical="center"/>
    </xf>
    <xf numFmtId="178" fontId="23" fillId="5" borderId="20" xfId="0" applyNumberFormat="1" applyFont="1" applyFill="1" applyBorder="1" applyAlignment="1">
      <alignment vertical="center"/>
    </xf>
    <xf numFmtId="0" fontId="1" fillId="0" borderId="21" xfId="0" applyFont="1" applyFill="1" applyBorder="1" applyAlignment="1">
      <alignment vertical="center"/>
    </xf>
    <xf numFmtId="0" fontId="11" fillId="0" borderId="13" xfId="0" applyNumberFormat="1" applyFont="1" applyFill="1" applyBorder="1" applyAlignment="1" quotePrefix="1">
      <alignment horizontal="center" vertical="center" wrapText="1"/>
    </xf>
  </cellXfs>
  <cellStyles count="53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32" xfId="49"/>
    <cellStyle name="常规 5" xfId="50"/>
    <cellStyle name="常规 2" xfId="51"/>
    <cellStyle name="Normal 2" xfId="52"/>
  </cellStyles>
  <tableStyles count="0" defaultTableStyle="TableStyleMedium2" defaultPivotStyle="PivotStyleLight16"/>
  <colors>
    <mruColors>
      <color rgb="00FFFF00"/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207645</xdr:colOff>
      <xdr:row>0</xdr:row>
      <xdr:rowOff>207645</xdr:rowOff>
    </xdr:from>
    <xdr:to>
      <xdr:col>1</xdr:col>
      <xdr:colOff>1243965</xdr:colOff>
      <xdr:row>0</xdr:row>
      <xdr:rowOff>812165</xdr:rowOff>
    </xdr:to>
    <xdr:pic>
      <xdr:nvPicPr>
        <xdr:cNvPr id="2" name="图片 1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207645" y="207645"/>
          <a:ext cx="1849120" cy="6045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6</xdr:col>
      <xdr:colOff>528955</xdr:colOff>
      <xdr:row>11</xdr:row>
      <xdr:rowOff>154940</xdr:rowOff>
    </xdr:from>
    <xdr:to>
      <xdr:col>6</xdr:col>
      <xdr:colOff>1176020</xdr:colOff>
      <xdr:row>11</xdr:row>
      <xdr:rowOff>1105535</xdr:rowOff>
    </xdr:to>
    <xdr:pic>
      <xdr:nvPicPr>
        <xdr:cNvPr id="4" name="图片 3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2888595" y="6692265"/>
          <a:ext cx="647065" cy="950595"/>
        </a:xfrm>
        <a:prstGeom prst="rect">
          <a:avLst/>
        </a:prstGeom>
      </xdr:spPr>
    </xdr:pic>
    <xdr:clientData/>
  </xdr:twoCellAnchor>
  <xdr:twoCellAnchor editAs="oneCell">
    <xdr:from>
      <xdr:col>6</xdr:col>
      <xdr:colOff>448945</xdr:colOff>
      <xdr:row>12</xdr:row>
      <xdr:rowOff>113665</xdr:rowOff>
    </xdr:from>
    <xdr:to>
      <xdr:col>6</xdr:col>
      <xdr:colOff>1456690</xdr:colOff>
      <xdr:row>12</xdr:row>
      <xdr:rowOff>1234440</xdr:rowOff>
    </xdr:to>
    <xdr:pic>
      <xdr:nvPicPr>
        <xdr:cNvPr id="5" name="图片 4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12808585" y="7920990"/>
          <a:ext cx="1007745" cy="11207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6</xdr:col>
      <xdr:colOff>122555</xdr:colOff>
      <xdr:row>13</xdr:row>
      <xdr:rowOff>31115</xdr:rowOff>
    </xdr:from>
    <xdr:to>
      <xdr:col>6</xdr:col>
      <xdr:colOff>1498600</xdr:colOff>
      <xdr:row>13</xdr:row>
      <xdr:rowOff>1093470</xdr:rowOff>
    </xdr:to>
    <xdr:pic>
      <xdr:nvPicPr>
        <xdr:cNvPr id="6" name="图片 5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12482195" y="9108440"/>
          <a:ext cx="1376045" cy="106235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XCP30"/>
  <sheetViews>
    <sheetView tabSelected="1" zoomScale="70" zoomScaleNormal="70" zoomScaleSheetLayoutView="60" workbookViewId="0">
      <selection activeCell="D21" sqref="D21:G21"/>
    </sheetView>
  </sheetViews>
  <sheetFormatPr defaultColWidth="9" defaultRowHeight="18"/>
  <cols>
    <col min="1" max="1" width="10.6666666666667" style="6" customWidth="1"/>
    <col min="2" max="2" width="23.1333333333333" style="7" customWidth="1"/>
    <col min="3" max="3" width="37.3333333333333" style="1" customWidth="1"/>
    <col min="4" max="4" width="36.0666666666667" style="7" customWidth="1"/>
    <col min="5" max="6" width="27.5" style="7" customWidth="1"/>
    <col min="7" max="7" width="22.8333333333333" style="7" customWidth="1"/>
    <col min="8" max="8" width="23" style="8" customWidth="1"/>
    <col min="9" max="9" width="17.8333333333333" style="9" customWidth="1"/>
    <col min="10" max="10" width="25" style="10" customWidth="1"/>
    <col min="11" max="16249" width="9" style="1"/>
  </cols>
  <sheetData>
    <row r="1" s="1" customFormat="1" ht="110.75" customHeight="1" spans="1:10 16311:16318">
      <c r="A1" s="11" t="s">
        <v>0</v>
      </c>
      <c r="B1" s="12"/>
      <c r="C1" s="12"/>
      <c r="D1" s="12"/>
      <c r="E1" s="12"/>
      <c r="F1" s="12"/>
      <c r="G1" s="12"/>
      <c r="H1" s="13"/>
      <c r="I1" s="14"/>
      <c r="J1" s="15"/>
    </row>
    <row r="2" s="1" customFormat="1" ht="32" customHeight="1" spans="1:10 16311:16318">
      <c r="A2" s="16" t="s">
        <v>1</v>
      </c>
      <c r="B2" s="17"/>
      <c r="C2" s="18" t="s">
        <v>2</v>
      </c>
      <c r="D2" s="18"/>
      <c r="E2" s="18"/>
      <c r="F2" s="18"/>
      <c r="G2" s="17" t="s">
        <v>3</v>
      </c>
      <c r="H2" s="19" t="s">
        <v>4</v>
      </c>
      <c r="I2" s="20"/>
      <c r="J2" s="21"/>
    </row>
    <row r="3" s="1" customFormat="1" ht="32" customHeight="1" spans="1:10 16311:16318">
      <c r="A3" s="22" t="s">
        <v>5</v>
      </c>
      <c r="B3" s="23"/>
      <c r="C3" s="23"/>
      <c r="D3" s="23"/>
      <c r="E3" s="23"/>
      <c r="F3" s="23"/>
      <c r="G3" s="24"/>
      <c r="H3" s="25"/>
      <c r="I3" s="26"/>
      <c r="J3" s="27"/>
    </row>
    <row r="4" s="1" customFormat="1" ht="42" customHeight="1" spans="1:10 16311:16318">
      <c r="A4" s="28" t="s">
        <v>6</v>
      </c>
      <c r="B4" s="24"/>
      <c r="C4" s="23"/>
      <c r="D4" s="23"/>
      <c r="E4" s="23"/>
      <c r="F4" s="23"/>
      <c r="G4" s="24" t="s">
        <v>7</v>
      </c>
      <c r="H4" s="25"/>
      <c r="I4" s="23"/>
      <c r="J4" s="29"/>
    </row>
    <row r="5" customFormat="1" ht="60" customHeight="1" spans="1:10 16311:16318">
      <c r="A5" s="22" t="s">
        <v>8</v>
      </c>
      <c r="B5" s="23"/>
      <c r="C5" s="23"/>
      <c r="D5" s="23"/>
      <c r="E5" s="23"/>
      <c r="F5" s="23"/>
      <c r="G5" s="24" t="s">
        <v>8</v>
      </c>
      <c r="H5" s="25" t="s">
        <v>9</v>
      </c>
      <c r="I5" s="23"/>
      <c r="J5" s="29"/>
      <c r="XCI5" s="1"/>
      <c r="XCJ5" s="1"/>
      <c r="XCK5" s="1"/>
      <c r="XCL5" s="1"/>
      <c r="XCM5" s="1"/>
      <c r="XCN5" s="1"/>
      <c r="XCO5" s="1"/>
      <c r="XCP5" s="1"/>
    </row>
    <row r="6" customFormat="1" ht="66" customHeight="1" spans="1:10 16311:16318">
      <c r="A6" s="22" t="s">
        <v>10</v>
      </c>
      <c r="B6" s="23"/>
      <c r="C6" s="23"/>
      <c r="D6" s="23"/>
      <c r="E6" s="23"/>
      <c r="F6" s="23"/>
      <c r="G6" s="24" t="s">
        <v>10</v>
      </c>
      <c r="H6" s="25" t="s">
        <v>11</v>
      </c>
      <c r="I6" s="23"/>
      <c r="J6" s="29"/>
      <c r="XCI6" s="1"/>
      <c r="XCJ6" s="1"/>
      <c r="XCK6" s="1"/>
      <c r="XCL6" s="1"/>
      <c r="XCM6" s="1"/>
      <c r="XCN6" s="1"/>
      <c r="XCO6" s="1"/>
      <c r="XCP6" s="1"/>
    </row>
    <row r="7" customFormat="1" ht="21" spans="1:10 16311:16318">
      <c r="A7" s="22" t="s">
        <v>12</v>
      </c>
      <c r="B7" s="23"/>
      <c r="C7" s="23"/>
      <c r="D7" s="23"/>
      <c r="E7" s="23"/>
      <c r="F7" s="23"/>
      <c r="G7" s="24" t="s">
        <v>12</v>
      </c>
      <c r="H7" s="25" t="s">
        <v>13</v>
      </c>
      <c r="I7" s="23"/>
      <c r="J7" s="29"/>
      <c r="XCI7" s="1"/>
      <c r="XCJ7" s="1"/>
      <c r="XCK7" s="1"/>
      <c r="XCL7" s="1"/>
      <c r="XCM7" s="1"/>
      <c r="XCN7" s="1"/>
      <c r="XCO7" s="1"/>
      <c r="XCP7" s="1"/>
    </row>
    <row r="8" customFormat="1" ht="23" customHeight="1" spans="1:10 16311:16318">
      <c r="A8" s="22" t="s">
        <v>14</v>
      </c>
      <c r="B8" s="23"/>
      <c r="C8" s="30"/>
      <c r="D8" s="23"/>
      <c r="E8" s="23"/>
      <c r="F8" s="23"/>
      <c r="G8" s="24" t="s">
        <v>14</v>
      </c>
      <c r="H8" s="31" t="s">
        <v>15</v>
      </c>
      <c r="I8" s="23"/>
      <c r="J8" s="29"/>
      <c r="XCI8" s="1"/>
      <c r="XCJ8" s="1"/>
      <c r="XCK8" s="1"/>
      <c r="XCL8" s="1"/>
      <c r="XCM8" s="1"/>
      <c r="XCN8" s="1"/>
      <c r="XCO8" s="1"/>
      <c r="XCP8" s="1"/>
    </row>
    <row r="9" customFormat="1" ht="28" customHeight="1" spans="1:10 16311:16318">
      <c r="A9" s="22" t="s">
        <v>16</v>
      </c>
      <c r="B9" s="23"/>
      <c r="C9" s="23"/>
      <c r="D9" s="23"/>
      <c r="E9" s="23"/>
      <c r="F9" s="23"/>
      <c r="G9" s="24" t="s">
        <v>16</v>
      </c>
      <c r="H9" s="25" t="s">
        <v>17</v>
      </c>
      <c r="I9" s="23"/>
      <c r="J9" s="29"/>
      <c r="XCI9" s="1"/>
      <c r="XCJ9" s="1"/>
      <c r="XCK9" s="1"/>
      <c r="XCL9" s="1"/>
      <c r="XCM9" s="1"/>
      <c r="XCN9" s="1"/>
      <c r="XCO9" s="1"/>
      <c r="XCP9" s="1"/>
    </row>
    <row r="10" s="1" customFormat="1" ht="44" customHeight="1" spans="1:10 16311:16318">
      <c r="A10" s="32" t="s">
        <v>18</v>
      </c>
      <c r="B10" s="33"/>
      <c r="C10" s="33"/>
      <c r="D10" s="33"/>
      <c r="E10" s="33"/>
      <c r="F10" s="33"/>
      <c r="G10" s="33"/>
      <c r="H10" s="34"/>
      <c r="I10" s="35"/>
      <c r="J10" s="36"/>
    </row>
    <row r="11" s="1" customFormat="1" ht="56" customHeight="1" spans="1:10 16311:16318">
      <c r="A11" s="37" t="s">
        <v>19</v>
      </c>
      <c r="B11" s="38" t="s">
        <v>20</v>
      </c>
      <c r="C11" s="38" t="s">
        <v>21</v>
      </c>
      <c r="D11" s="38" t="s">
        <v>22</v>
      </c>
      <c r="E11" s="39" t="s">
        <v>23</v>
      </c>
      <c r="F11" s="39" t="s">
        <v>24</v>
      </c>
      <c r="G11" s="40" t="s">
        <v>25</v>
      </c>
      <c r="H11" s="41" t="s">
        <v>26</v>
      </c>
      <c r="I11" s="42" t="s">
        <v>27</v>
      </c>
      <c r="J11" s="43" t="s">
        <v>28</v>
      </c>
    </row>
    <row r="12" s="2" customFormat="1" ht="100" customHeight="1" spans="1:10 16311:16318">
      <c r="A12" s="44">
        <v>1</v>
      </c>
      <c r="B12" s="45" t="s">
        <v>29</v>
      </c>
      <c r="C12" s="46" t="s">
        <v>30</v>
      </c>
      <c r="D12" s="47" t="s">
        <v>31</v>
      </c>
      <c r="E12" s="103" t="s">
        <v>32</v>
      </c>
      <c r="F12" s="49" t="s">
        <v>33</v>
      </c>
      <c r="G12" s="50"/>
      <c r="H12" s="51">
        <v>11.7580952380952</v>
      </c>
      <c r="I12" s="52">
        <v>20</v>
      </c>
      <c r="J12" s="53">
        <f>I12*H12</f>
        <v>235.161904761904</v>
      </c>
    </row>
    <row r="13" s="1" customFormat="1" ht="100" customHeight="1" spans="1:10 16311:16318">
      <c r="A13" s="44">
        <v>2</v>
      </c>
      <c r="B13" s="54" t="s">
        <v>34</v>
      </c>
      <c r="C13" s="46" t="s">
        <v>35</v>
      </c>
      <c r="D13" s="55" t="s">
        <v>36</v>
      </c>
      <c r="E13" s="103" t="s">
        <v>37</v>
      </c>
      <c r="F13" s="56" t="s">
        <v>38</v>
      </c>
      <c r="G13" s="57"/>
      <c r="H13" s="51">
        <v>12.327619047619</v>
      </c>
      <c r="I13" s="57">
        <v>10</v>
      </c>
      <c r="J13" s="53">
        <f>I13*H13</f>
        <v>123.27619047619</v>
      </c>
    </row>
    <row r="14" s="1" customFormat="1" ht="100" customHeight="1" spans="1:10 16311:16318">
      <c r="A14" s="44">
        <v>3</v>
      </c>
      <c r="B14" s="58" t="s">
        <v>39</v>
      </c>
      <c r="C14" s="54" t="s">
        <v>40</v>
      </c>
      <c r="D14" s="59" t="s">
        <v>41</v>
      </c>
      <c r="E14" s="103" t="s">
        <v>42</v>
      </c>
      <c r="F14" s="49" t="s">
        <v>33</v>
      </c>
      <c r="G14" s="57"/>
      <c r="H14" s="51">
        <v>6.04190476190476</v>
      </c>
      <c r="I14" s="57">
        <v>20</v>
      </c>
      <c r="J14" s="53">
        <f>I14*H14</f>
        <v>120.838095238095</v>
      </c>
    </row>
    <row r="15" s="1" customFormat="1" ht="42" customHeight="1" spans="1:10 16311:16318">
      <c r="A15" s="60" t="s">
        <v>43</v>
      </c>
      <c r="B15" s="61"/>
      <c r="C15" s="61"/>
      <c r="D15" s="61"/>
      <c r="E15" s="61"/>
      <c r="F15" s="61"/>
      <c r="G15" s="61"/>
      <c r="H15" s="62"/>
      <c r="I15" s="49">
        <f>SUM(I12:I14)</f>
        <v>50</v>
      </c>
      <c r="J15" s="63">
        <f>SUM(J12:J14)</f>
        <v>479.276190476189</v>
      </c>
    </row>
    <row r="16" s="3" customFormat="1" ht="30.75" customHeight="1" spans="1:10 16311:16318">
      <c r="A16" s="64" t="s">
        <v>44</v>
      </c>
      <c r="B16" s="65"/>
      <c r="C16" s="65"/>
      <c r="D16" s="65"/>
      <c r="E16" s="65"/>
      <c r="F16" s="65"/>
      <c r="G16" s="65"/>
      <c r="H16" s="66"/>
      <c r="I16" s="65"/>
      <c r="J16" s="67"/>
      <c r="XCI16" s="68"/>
      <c r="XCJ16" s="68"/>
      <c r="XCK16" s="68"/>
      <c r="XCL16" s="68"/>
      <c r="XCM16" s="68"/>
      <c r="XCN16" s="68"/>
      <c r="XCO16" s="68"/>
      <c r="XCP16" s="68"/>
    </row>
    <row r="17" s="4" customFormat="1" ht="23.1" customHeight="1" spans="1:10">
      <c r="A17" s="69" t="s">
        <v>45</v>
      </c>
      <c r="B17" s="70"/>
      <c r="C17" s="70"/>
      <c r="D17" s="71" t="s">
        <v>46</v>
      </c>
      <c r="E17" s="71"/>
      <c r="F17" s="71"/>
      <c r="G17" s="72"/>
      <c r="H17" s="73"/>
      <c r="I17" s="72"/>
      <c r="J17" s="74"/>
    </row>
    <row r="18" s="4" customFormat="1" ht="23.1" customHeight="1" spans="1:10">
      <c r="A18" s="69" t="s">
        <v>47</v>
      </c>
      <c r="B18" s="70"/>
      <c r="C18" s="70"/>
      <c r="D18" s="75" t="s">
        <v>48</v>
      </c>
      <c r="E18" s="75"/>
      <c r="F18" s="75"/>
      <c r="G18" s="76"/>
      <c r="H18" s="77"/>
      <c r="I18" s="76"/>
      <c r="J18" s="78"/>
    </row>
    <row r="19" s="4" customFormat="1" ht="23.1" customHeight="1" spans="1:10">
      <c r="A19" s="69" t="s">
        <v>49</v>
      </c>
      <c r="B19" s="70"/>
      <c r="C19" s="70"/>
      <c r="D19" s="76" t="s">
        <v>50</v>
      </c>
      <c r="E19" s="76"/>
      <c r="F19" s="76"/>
      <c r="G19" s="76"/>
      <c r="H19" s="77"/>
      <c r="I19" s="76"/>
      <c r="J19" s="74"/>
    </row>
    <row r="20" s="4" customFormat="1" ht="23.1" customHeight="1" spans="1:10">
      <c r="A20" s="69" t="s">
        <v>51</v>
      </c>
      <c r="B20" s="70"/>
      <c r="C20" s="70"/>
      <c r="D20" s="79" t="s">
        <v>52</v>
      </c>
      <c r="E20" s="79"/>
      <c r="F20" s="79"/>
      <c r="G20" s="79"/>
      <c r="H20" s="80"/>
      <c r="I20" s="81"/>
      <c r="J20" s="74"/>
    </row>
    <row r="21" s="5" customFormat="1" ht="23.1" customHeight="1" spans="1:10">
      <c r="A21" s="82" t="s">
        <v>53</v>
      </c>
      <c r="B21" s="83"/>
      <c r="C21" s="83"/>
      <c r="D21" s="79" t="s">
        <v>54</v>
      </c>
      <c r="E21" s="79"/>
      <c r="F21" s="79"/>
      <c r="G21" s="79"/>
      <c r="H21" s="84"/>
      <c r="I21" s="85"/>
      <c r="J21" s="86"/>
    </row>
    <row r="22" s="5" customFormat="1" ht="20.1" customHeight="1" spans="1:10">
      <c r="A22" s="87" t="s">
        <v>55</v>
      </c>
      <c r="B22" s="85"/>
      <c r="C22" s="85"/>
      <c r="D22" s="85"/>
      <c r="E22" s="85"/>
      <c r="F22" s="85"/>
      <c r="G22" s="85"/>
      <c r="H22" s="84"/>
      <c r="I22" s="88"/>
      <c r="J22" s="86"/>
    </row>
    <row r="23" s="5" customFormat="1" ht="20.25" spans="1:10">
      <c r="A23" s="64" t="s">
        <v>56</v>
      </c>
      <c r="B23" s="68"/>
      <c r="C23" s="68"/>
      <c r="D23" s="68"/>
      <c r="E23" s="68"/>
      <c r="F23" s="68"/>
      <c r="G23" s="68"/>
      <c r="H23" s="66"/>
      <c r="I23" s="68"/>
      <c r="J23" s="89"/>
    </row>
    <row r="24" s="4" customFormat="1" ht="21.95" customHeight="1" spans="1:10">
      <c r="A24" s="90" t="s">
        <v>57</v>
      </c>
      <c r="B24" s="91"/>
      <c r="C24" s="91"/>
      <c r="D24" s="90" t="s">
        <v>58</v>
      </c>
      <c r="E24" s="91"/>
      <c r="F24" s="91"/>
      <c r="G24" s="91"/>
      <c r="H24" s="92"/>
      <c r="I24" s="91"/>
      <c r="J24" s="74"/>
    </row>
    <row r="25" s="4" customFormat="1" ht="21" spans="1:10">
      <c r="A25" s="90" t="s">
        <v>59</v>
      </c>
      <c r="B25" s="91"/>
      <c r="C25" s="91"/>
      <c r="D25" s="90" t="s">
        <v>60</v>
      </c>
      <c r="E25" s="91"/>
      <c r="F25" s="91"/>
      <c r="G25" s="91"/>
      <c r="H25" s="92"/>
      <c r="I25" s="91"/>
      <c r="J25" s="74"/>
    </row>
    <row r="26" s="4" customFormat="1" ht="21" spans="1:10">
      <c r="A26" s="90" t="s">
        <v>61</v>
      </c>
      <c r="B26" s="91"/>
      <c r="C26" s="91"/>
      <c r="D26" s="90" t="s">
        <v>62</v>
      </c>
      <c r="E26" s="91"/>
      <c r="F26" s="91"/>
      <c r="G26" s="91"/>
      <c r="H26" s="92"/>
      <c r="I26" s="91"/>
      <c r="J26" s="74"/>
    </row>
    <row r="27" s="4" customFormat="1" ht="21" spans="1:10">
      <c r="A27" s="90" t="s">
        <v>63</v>
      </c>
      <c r="B27" s="91"/>
      <c r="C27" s="91"/>
      <c r="D27" s="90" t="s">
        <v>64</v>
      </c>
      <c r="E27" s="91"/>
      <c r="F27" s="91"/>
      <c r="G27" s="91"/>
      <c r="H27" s="92"/>
      <c r="I27" s="91"/>
      <c r="J27" s="74"/>
    </row>
    <row r="28" s="4" customFormat="1" ht="21.95" customHeight="1" spans="1:10">
      <c r="A28" s="90" t="s">
        <v>65</v>
      </c>
      <c r="B28" s="91"/>
      <c r="C28" s="91"/>
      <c r="D28" s="90" t="s">
        <v>66</v>
      </c>
      <c r="E28" s="93"/>
      <c r="F28" s="93"/>
      <c r="G28" s="93"/>
      <c r="H28" s="94"/>
      <c r="I28" s="93"/>
      <c r="J28" s="74"/>
    </row>
    <row r="29" s="4" customFormat="1" ht="21.95" customHeight="1" spans="1:10">
      <c r="A29" s="90"/>
      <c r="B29" s="91"/>
      <c r="C29" s="91"/>
      <c r="D29" s="95"/>
      <c r="E29" s="93"/>
      <c r="F29" s="93"/>
      <c r="G29" s="93"/>
      <c r="H29" s="94"/>
      <c r="I29" s="93"/>
      <c r="J29" s="74"/>
    </row>
    <row r="30" s="5" customFormat="1" ht="21.75" spans="1:10">
      <c r="A30" s="96"/>
      <c r="B30" s="97"/>
      <c r="C30" s="97"/>
      <c r="D30" s="98"/>
      <c r="E30" s="98"/>
      <c r="F30" s="98"/>
      <c r="G30" s="99"/>
      <c r="H30" s="100"/>
      <c r="I30" s="101"/>
      <c r="J30" s="102"/>
    </row>
  </sheetData>
  <mergeCells count="44">
    <mergeCell ref="A1:J1"/>
    <mergeCell ref="C2:D2"/>
    <mergeCell ref="H2:J2"/>
    <mergeCell ref="A3:B3"/>
    <mergeCell ref="C4:D4"/>
    <mergeCell ref="H4:J4"/>
    <mergeCell ref="A5:B5"/>
    <mergeCell ref="C5:D5"/>
    <mergeCell ref="H5:J5"/>
    <mergeCell ref="A6:B6"/>
    <mergeCell ref="C6:D6"/>
    <mergeCell ref="H6:J6"/>
    <mergeCell ref="A7:B7"/>
    <mergeCell ref="C7:D7"/>
    <mergeCell ref="H7:J7"/>
    <mergeCell ref="A8:B8"/>
    <mergeCell ref="C8:D8"/>
    <mergeCell ref="H8:J8"/>
    <mergeCell ref="A9:B9"/>
    <mergeCell ref="C9:D9"/>
    <mergeCell ref="H9:J9"/>
    <mergeCell ref="A10:J10"/>
    <mergeCell ref="A15:H15"/>
    <mergeCell ref="A16:J16"/>
    <mergeCell ref="A17:B17"/>
    <mergeCell ref="H17:I17"/>
    <mergeCell ref="A18:B18"/>
    <mergeCell ref="D18:J18"/>
    <mergeCell ref="A19:B19"/>
    <mergeCell ref="D19:I19"/>
    <mergeCell ref="A20:B20"/>
    <mergeCell ref="D20:G20"/>
    <mergeCell ref="H20:I20"/>
    <mergeCell ref="A21:B21"/>
    <mergeCell ref="D21:G21"/>
    <mergeCell ref="H21:I21"/>
    <mergeCell ref="A22:I22"/>
    <mergeCell ref="A23:I23"/>
    <mergeCell ref="A24:C24"/>
    <mergeCell ref="A25:C25"/>
    <mergeCell ref="A26:C26"/>
    <mergeCell ref="A27:C27"/>
    <mergeCell ref="A30:B30"/>
    <mergeCell ref="A28:C29"/>
  </mergeCells>
  <dataValidations count="1">
    <dataValidation type="custom" allowBlank="1" showErrorMessage="1" errorTitle="拒绝重复输入" error="当前输入的内容，与本区域的其他单元格内容重复。" sqref="B1 B10 B15 B31:B1048576" errorStyle="warning">
      <formula1>COUNTIF($B:$B,B1)&lt;2</formula1>
    </dataValidation>
  </dataValidations>
  <printOptions horizontalCentered="1"/>
  <pageMargins left="0.196527777777778" right="0.196527777777778" top="0.751388888888889" bottom="0.751388888888889" header="0.298611111111111" footer="0.298611111111111"/>
  <pageSetup paperSize="9" scale="40" orientation="portrait" horizontalDpi="600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PI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Nick</cp:lastModifiedBy>
  <dcterms:created xsi:type="dcterms:W3CDTF">2023-03-30T08:11:00Z</dcterms:created>
  <dcterms:modified xsi:type="dcterms:W3CDTF">2025-12-23T08:35:31Z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43E112B0FD8C4031AC9A68395B499C9E_13</vt:lpwstr>
  </property>
  <property fmtid="{D5CDD505-2E9C-101B-9397-08002B2CF9AE}" pid="3" name="KSOProductBuildVer">
    <vt:lpwstr>2052-12.1.0.24034</vt:lpwstr>
  </property>
  <property fmtid="{D5CDD505-2E9C-101B-9397-08002B2CF9AE}" pid="4" name="KSOReadingLayout">
    <vt:bool>true</vt:bool>
  </property>
  <property fmtid="{D5CDD505-2E9C-101B-9397-08002B2CF9AE}" pid="5" name="CalculationRule">
    <vt:i4>0</vt:i4>
  </property>
</Properties>
</file>